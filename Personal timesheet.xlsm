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ejay_88\Downloads\"/>
    </mc:Choice>
  </mc:AlternateContent>
  <bookViews>
    <workbookView xWindow="0" yWindow="0" windowWidth="20490" windowHeight="6930" xr2:uid="{00000000-000D-0000-FFFF-FFFF00000000}"/>
  </bookViews>
  <sheets>
    <sheet name="Start" sheetId="14" r:id="rId1"/>
    <sheet name="Public Holidays" sheetId="4" state="hidden" r:id="rId2"/>
    <sheet name="NetPayCalc" sheetId="69" state="hidden" r:id="rId3"/>
    <sheet name="Rates and Tax" sheetId="13" state="hidden" r:id="rId4"/>
  </sheets>
  <functionGroups builtInGroupCount="19"/>
  <definedNames>
    <definedName name="PublicHolidays">'Public Holidays'!$A$2:$A$34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4" l="1"/>
  <c r="K6" i="4"/>
  <c r="K5" i="4"/>
  <c r="J7" i="4"/>
  <c r="J6" i="4"/>
  <c r="J5" i="4"/>
</calcChain>
</file>

<file path=xl/sharedStrings.xml><?xml version="1.0" encoding="utf-8"?>
<sst xmlns="http://schemas.openxmlformats.org/spreadsheetml/2006/main" count="150" uniqueCount="66">
  <si>
    <t>Date</t>
  </si>
  <si>
    <t xml:space="preserve">Rates </t>
  </si>
  <si>
    <t xml:space="preserve">Ordinary </t>
  </si>
  <si>
    <t>Saturday</t>
  </si>
  <si>
    <t>Sunday</t>
  </si>
  <si>
    <t>Public Hols</t>
  </si>
  <si>
    <t>Holiday Name</t>
  </si>
  <si>
    <t>Information</t>
  </si>
  <si>
    <t>More Information</t>
  </si>
  <si>
    <t>Applicable To</t>
  </si>
  <si>
    <t>New Year's Day</t>
  </si>
  <si>
    <t>New Year's Day is the first day of the calendar year and is celebrated each January 1st</t>
  </si>
  <si>
    <t>NAT</t>
  </si>
  <si>
    <t>Australia Day</t>
  </si>
  <si>
    <t>Always celebrated on 26 January</t>
  </si>
  <si>
    <t>Labour Day</t>
  </si>
  <si>
    <t>Always on a Monday, creating a long weekend. It celebrates the eight-hour working day, a victory for workers in the mid-late 19th century.</t>
  </si>
  <si>
    <t>http://www.business.vic.gov.au/victorian-public-holidays-and-daylight-saving/victorian-public-holidays</t>
  </si>
  <si>
    <t>VIC</t>
  </si>
  <si>
    <t>Good Friday</t>
  </si>
  <si>
    <t>Easter is celebrated with Good Friday and Easter Monday creating a 4 day long weekend.</t>
  </si>
  <si>
    <t>Public Holiday as part of Easter.</t>
  </si>
  <si>
    <t>Easter Monday</t>
  </si>
  <si>
    <t>Anzac Day</t>
  </si>
  <si>
    <t>Celebrated on the 25 April each year.</t>
  </si>
  <si>
    <t>http://www.awm.gov.au/commemoration/anzac-day/</t>
  </si>
  <si>
    <t>Queen's Birthday</t>
  </si>
  <si>
    <t>Celebrated on second Monday in June except in Western Australia and Queensland.</t>
  </si>
  <si>
    <t>https://www.gg.gov.au/queens-birthday-2014-honours-list</t>
  </si>
  <si>
    <t>ACT|NSW|NT|SA|TAS|VIC</t>
  </si>
  <si>
    <t>AFL Grand Final</t>
  </si>
  <si>
    <t>Friday before the AFL Grand Final</t>
  </si>
  <si>
    <t>Melbourne Cup Day</t>
  </si>
  <si>
    <t>All of Victoria unless alternate local holiday has been arranged by non-metro council.</t>
  </si>
  <si>
    <t>Christmas Day</t>
  </si>
  <si>
    <t>Christmas Day is an annual holiday which celebrates the birth of Jesus Christ over 2000 years ago.</t>
  </si>
  <si>
    <t>Boxing Day</t>
  </si>
  <si>
    <t>Boxing Day occurs the day after Christmas. Sydney-to-Hobart yacht race and Boxing Day Test Match (Cricket) start on this day.</t>
  </si>
  <si>
    <t>ACT|NSW|NT|QLD|WA|TAS|VIC</t>
  </si>
  <si>
    <t>Christmas Day holiday</t>
  </si>
  <si>
    <t>Substitute for Christmas Day</t>
  </si>
  <si>
    <t>New Year's Day Holiday</t>
  </si>
  <si>
    <t>Additional day</t>
  </si>
  <si>
    <t>http://www.australiaday.org.au/</t>
  </si>
  <si>
    <t>All of Victoria unless alternate local holiday has been arranged by non-metro council</t>
  </si>
  <si>
    <t>ACT|TAS|VIC|NSW|QLD|NT</t>
  </si>
  <si>
    <t>Friday</t>
  </si>
  <si>
    <t>Tuesday</t>
  </si>
  <si>
    <t>Monday</t>
  </si>
  <si>
    <t>Thursday</t>
  </si>
  <si>
    <t>PH</t>
  </si>
  <si>
    <t xml:space="preserve">Sunday </t>
  </si>
  <si>
    <t>Easter Sunday</t>
  </si>
  <si>
    <t>Net Pay</t>
  </si>
  <si>
    <t>Rates</t>
  </si>
  <si>
    <t>Ordinary</t>
  </si>
  <si>
    <t>Public Holis</t>
  </si>
  <si>
    <t>Gross Pay</t>
  </si>
  <si>
    <t>FN Start</t>
  </si>
  <si>
    <t>FN End</t>
  </si>
  <si>
    <t>Tax</t>
  </si>
  <si>
    <t>Select to go to month:</t>
  </si>
  <si>
    <t>Version</t>
  </si>
  <si>
    <t>Changelog</t>
  </si>
  <si>
    <r>
      <rPr>
        <i/>
        <sz val="8"/>
        <color theme="1"/>
        <rFont val="Calibri"/>
        <family val="2"/>
        <scheme val="minor"/>
      </rPr>
      <t>Version 1</t>
    </r>
    <r>
      <rPr>
        <sz val="8"/>
        <color theme="1"/>
        <rFont val="Calibri"/>
        <family val="2"/>
        <scheme val="minor"/>
      </rPr>
      <t xml:space="preserve">
In the initial version, code can be used to:
- Add new month, and create new month's worksheet
- Enter in shifts and calculate gross pay (inc penalty rates)
- Modify and change shifts
- Calculate net pay and tax on 14 day basis
- Adjust pay rates
Future updates:
- Calculate net pay on user defined period
- Formatting and layout adjustments
- Continue to clean up superseded and messy code
- Make it usable for 2018
- Ability to adjust tax rates
- Ability to adjust penalties
</t>
    </r>
  </si>
  <si>
    <t>by: Brendan Butler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</si>
</sst>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dddd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eorgia"/>
      <family val="1"/>
    </font>
    <font>
      <sz val="11"/>
      <name val="Georgia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18" fontId="0" fillId="0" borderId="0" xfId="0" applyNumberFormat="1"/>
    <xf numFmtId="18" fontId="2" fillId="0" borderId="1" xfId="0" applyNumberFormat="1" applyFont="1" applyBorder="1"/>
    <xf numFmtId="8" fontId="2" fillId="0" borderId="1" xfId="0" applyNumberFormat="1" applyFont="1" applyBorder="1"/>
    <xf numFmtId="18" fontId="2" fillId="0" borderId="3" xfId="0" applyNumberFormat="1" applyFont="1" applyBorder="1"/>
    <xf numFmtId="0" fontId="2" fillId="0" borderId="0" xfId="0" applyFont="1"/>
    <xf numFmtId="0" fontId="3" fillId="0" borderId="0" xfId="0" applyFont="1" applyFill="1"/>
    <xf numFmtId="0" fontId="3" fillId="2" borderId="1" xfId="0" applyFont="1" applyFill="1" applyBorder="1"/>
    <xf numFmtId="0" fontId="3" fillId="0" borderId="2" xfId="0" applyFont="1" applyFill="1" applyBorder="1"/>
    <xf numFmtId="0" fontId="2" fillId="0" borderId="0" xfId="0" applyFont="1" applyFill="1"/>
    <xf numFmtId="0" fontId="4" fillId="0" borderId="0" xfId="0" applyFont="1"/>
    <xf numFmtId="8" fontId="0" fillId="0" borderId="1" xfId="0" applyNumberFormat="1" applyBorder="1"/>
    <xf numFmtId="18" fontId="0" fillId="0" borderId="1" xfId="0" applyNumberFormat="1" applyBorder="1"/>
    <xf numFmtId="0" fontId="0" fillId="2" borderId="1" xfId="0" applyFill="1" applyBorder="1"/>
    <xf numFmtId="44" fontId="0" fillId="0" borderId="0" xfId="1" applyFont="1"/>
    <xf numFmtId="7" fontId="0" fillId="0" borderId="0" xfId="1" applyNumberFormat="1" applyFont="1"/>
    <xf numFmtId="0" fontId="0" fillId="0" borderId="0" xfId="0" applyBorder="1"/>
    <xf numFmtId="18" fontId="0" fillId="0" borderId="0" xfId="0" applyNumberFormat="1" applyBorder="1"/>
    <xf numFmtId="14" fontId="0" fillId="0" borderId="0" xfId="0" applyNumberFormat="1" applyBorder="1"/>
    <xf numFmtId="165" fontId="0" fillId="0" borderId="0" xfId="0" applyNumberFormat="1" applyBorder="1"/>
    <xf numFmtId="164" fontId="0" fillId="0" borderId="0" xfId="0" applyNumberFormat="1" applyBorder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33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438150</xdr:colOff>
          <xdr:row>5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0</xdr:rowOff>
        </xdr:from>
        <xdr:to>
          <xdr:col>3</xdr:col>
          <xdr:colOff>552450</xdr:colOff>
          <xdr:row>9</xdr:row>
          <xdr:rowOff>9525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Payslip Reconciliation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542925</xdr:colOff>
          <xdr:row>13</xdr:row>
          <xdr:rowOff>95250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Pay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</xdr:row>
          <xdr:rowOff>104775</xdr:rowOff>
        </xdr:from>
        <xdr:to>
          <xdr:col>8</xdr:col>
          <xdr:colOff>619125</xdr:colOff>
          <xdr:row>11</xdr:row>
          <xdr:rowOff>66675</xdr:rowOff>
        </xdr:to>
        <xdr:sp macro="" textlink="">
          <xdr:nvSpPr>
            <xdr:cNvPr id="11272" name="SelectMonth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171450</xdr:rowOff>
        </xdr:from>
        <xdr:to>
          <xdr:col>7</xdr:col>
          <xdr:colOff>609600</xdr:colOff>
          <xdr:row>3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38100</xdr:rowOff>
        </xdr:from>
        <xdr:to>
          <xdr:col>13</xdr:col>
          <xdr:colOff>600075</xdr:colOff>
          <xdr:row>11</xdr:row>
          <xdr:rowOff>19050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Finished Adjustments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71CE-4FA4-4AC9-9007-9B1FC4CEF219}">
  <sheetPr codeName="Sheet11"/>
  <dimension ref="A2:Q18"/>
  <sheetViews>
    <sheetView showGridLines="0" tabSelected="1" workbookViewId="0">
      <selection activeCell="I19" sqref="I19"/>
    </sheetView>
  </sheetViews>
  <sheetFormatPr defaultRowHeight="15" x14ac:dyDescent="0.25"/>
  <cols>
    <col min="1" max="8" width="9.140625" style="17"/>
    <col min="9" max="9" width="11.7109375" style="17" customWidth="1"/>
    <col min="10" max="10" width="9.140625" style="17"/>
    <col min="11" max="11" width="11" style="17" customWidth="1"/>
    <col min="12" max="12" width="2.85546875" style="17" customWidth="1"/>
    <col min="13" max="16384" width="9.140625" style="17"/>
  </cols>
  <sheetData>
    <row r="2" spans="1:17" x14ac:dyDescent="0.25">
      <c r="H2" s="23" t="s">
        <v>61</v>
      </c>
      <c r="I2" s="23"/>
      <c r="K2" s="22" t="s">
        <v>62</v>
      </c>
      <c r="L2" s="17">
        <v>1</v>
      </c>
    </row>
    <row r="3" spans="1:17" x14ac:dyDescent="0.25">
      <c r="A3" s="19"/>
      <c r="B3" s="20"/>
      <c r="C3" s="18"/>
      <c r="D3" s="18"/>
      <c r="F3" s="21"/>
      <c r="K3" s="22"/>
    </row>
    <row r="4" spans="1:17" x14ac:dyDescent="0.25">
      <c r="K4" s="22" t="s">
        <v>63</v>
      </c>
      <c r="L4" s="24" t="s">
        <v>64</v>
      </c>
      <c r="M4" s="25"/>
      <c r="N4" s="25"/>
      <c r="O4" s="25"/>
      <c r="P4" s="25"/>
      <c r="Q4" s="25"/>
    </row>
    <row r="5" spans="1:17" x14ac:dyDescent="0.25">
      <c r="L5" s="25"/>
      <c r="M5" s="25"/>
      <c r="N5" s="25"/>
      <c r="O5" s="25"/>
      <c r="P5" s="25"/>
      <c r="Q5" s="25"/>
    </row>
    <row r="6" spans="1:17" x14ac:dyDescent="0.25">
      <c r="L6" s="25"/>
      <c r="M6" s="25"/>
      <c r="N6" s="25"/>
      <c r="O6" s="25"/>
      <c r="P6" s="25"/>
      <c r="Q6" s="25"/>
    </row>
    <row r="7" spans="1:17" x14ac:dyDescent="0.25">
      <c r="L7" s="25"/>
      <c r="M7" s="25"/>
      <c r="N7" s="25"/>
      <c r="O7" s="25"/>
      <c r="P7" s="25"/>
      <c r="Q7" s="25"/>
    </row>
    <row r="8" spans="1:17" x14ac:dyDescent="0.25">
      <c r="L8" s="25"/>
      <c r="M8" s="25"/>
      <c r="N8" s="25"/>
      <c r="O8" s="25"/>
      <c r="P8" s="25"/>
      <c r="Q8" s="25"/>
    </row>
    <row r="9" spans="1:17" x14ac:dyDescent="0.25">
      <c r="L9" s="25"/>
      <c r="M9" s="25"/>
      <c r="N9" s="25"/>
      <c r="O9" s="25"/>
      <c r="P9" s="25"/>
      <c r="Q9" s="25"/>
    </row>
    <row r="10" spans="1:17" x14ac:dyDescent="0.25">
      <c r="L10" s="25"/>
      <c r="M10" s="25"/>
      <c r="N10" s="25"/>
      <c r="O10" s="25"/>
      <c r="P10" s="25"/>
      <c r="Q10" s="25"/>
    </row>
    <row r="11" spans="1:17" x14ac:dyDescent="0.25">
      <c r="L11" s="25"/>
      <c r="M11" s="25"/>
      <c r="N11" s="25"/>
      <c r="O11" s="25"/>
      <c r="P11" s="25"/>
      <c r="Q11" s="25"/>
    </row>
    <row r="12" spans="1:17" x14ac:dyDescent="0.25">
      <c r="L12" s="25"/>
      <c r="M12" s="25"/>
      <c r="N12" s="25"/>
      <c r="O12" s="25"/>
      <c r="P12" s="25"/>
      <c r="Q12" s="25"/>
    </row>
    <row r="13" spans="1:17" x14ac:dyDescent="0.25">
      <c r="L13" s="25"/>
      <c r="M13" s="25"/>
      <c r="N13" s="25"/>
      <c r="O13" s="25"/>
      <c r="P13" s="25"/>
      <c r="Q13" s="25"/>
    </row>
    <row r="14" spans="1:17" x14ac:dyDescent="0.25">
      <c r="L14" s="25"/>
      <c r="M14" s="25"/>
      <c r="N14" s="25"/>
      <c r="O14" s="25"/>
      <c r="P14" s="25"/>
      <c r="Q14" s="25"/>
    </row>
    <row r="15" spans="1:17" x14ac:dyDescent="0.25">
      <c r="L15" s="25"/>
      <c r="M15" s="25"/>
      <c r="N15" s="25"/>
      <c r="O15" s="25"/>
      <c r="P15" s="25"/>
      <c r="Q15" s="25"/>
    </row>
    <row r="16" spans="1:17" x14ac:dyDescent="0.25">
      <c r="L16" s="25"/>
      <c r="M16" s="25"/>
      <c r="N16" s="25"/>
      <c r="O16" s="25"/>
      <c r="P16" s="25"/>
      <c r="Q16" s="25"/>
    </row>
    <row r="17" spans="12:17" x14ac:dyDescent="0.25">
      <c r="L17" s="25"/>
      <c r="M17" s="25"/>
      <c r="N17" s="25"/>
      <c r="O17" s="25"/>
      <c r="P17" s="25"/>
      <c r="Q17" s="25"/>
    </row>
    <row r="18" spans="12:17" x14ac:dyDescent="0.25">
      <c r="L18" s="17" t="s">
        <v>65</v>
      </c>
    </row>
  </sheetData>
  <sortState ref="A3:G3">
    <sortCondition ref="A3"/>
  </sortState>
  <dataConsolidate/>
  <mergeCells count="2">
    <mergeCell ref="H2:I2"/>
    <mergeCell ref="L4:Q1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SelectMonth">
          <controlPr defaultSize="0" autoLine="0" r:id="rId5">
            <anchor moveWithCells="1">
              <from>
                <xdr:col>7</xdr:col>
                <xdr:colOff>38100</xdr:colOff>
                <xdr:row>2</xdr:row>
                <xdr:rowOff>104775</xdr:rowOff>
              </from>
              <to>
                <xdr:col>8</xdr:col>
                <xdr:colOff>619125</xdr:colOff>
                <xdr:row>11</xdr:row>
                <xdr:rowOff>66675</xdr:rowOff>
              </to>
            </anchor>
          </controlPr>
        </control>
      </mc:Choice>
      <mc:Fallback>
        <control shapeId="11272" r:id="rId4" name="SelectMonth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AddNewMonth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438150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7" name="Button 5">
          <controlPr defaultSize="0" print="0" autoFill="0" autoPict="0" macro="[0]!EOF">
            <anchor moveWithCells="1" siz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552450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0" r:id="rId8" name="Button 6">
          <controlPr defaultSize="0" print="0" autoFill="0" autoPict="0" macro="[0]!Button6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542925</xdr:colOff>
                <xdr:row>13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38"/>
  <sheetViews>
    <sheetView topLeftCell="A18" workbookViewId="0">
      <selection activeCell="A39" sqref="A39"/>
    </sheetView>
  </sheetViews>
  <sheetFormatPr defaultRowHeight="15" x14ac:dyDescent="0.25"/>
  <cols>
    <col min="1" max="1" width="10.7109375" bestFit="1" customWidth="1"/>
    <col min="9" max="9" width="9.7109375" bestFit="1" customWidth="1"/>
  </cols>
  <sheetData>
    <row r="1" spans="1:11" x14ac:dyDescent="0.25">
      <c r="A1" t="s">
        <v>0</v>
      </c>
      <c r="C1" t="s">
        <v>6</v>
      </c>
      <c r="D1" t="s">
        <v>7</v>
      </c>
      <c r="E1" t="s">
        <v>8</v>
      </c>
      <c r="F1" t="s">
        <v>9</v>
      </c>
    </row>
    <row r="2" spans="1:11" x14ac:dyDescent="0.25">
      <c r="A2" s="1">
        <v>42370</v>
      </c>
      <c r="B2" t="s">
        <v>46</v>
      </c>
      <c r="C2" t="s">
        <v>10</v>
      </c>
      <c r="D2" t="s">
        <v>11</v>
      </c>
      <c r="F2" t="s">
        <v>12</v>
      </c>
      <c r="G2" t="s">
        <v>50</v>
      </c>
    </row>
    <row r="3" spans="1:11" x14ac:dyDescent="0.25">
      <c r="A3" s="1">
        <v>42395</v>
      </c>
      <c r="B3" t="s">
        <v>47</v>
      </c>
      <c r="C3" t="s">
        <v>13</v>
      </c>
      <c r="D3" t="s">
        <v>14</v>
      </c>
      <c r="F3" t="s">
        <v>12</v>
      </c>
      <c r="G3" t="s">
        <v>50</v>
      </c>
    </row>
    <row r="4" spans="1:11" x14ac:dyDescent="0.25">
      <c r="A4" s="1">
        <v>42443</v>
      </c>
      <c r="B4" t="s">
        <v>48</v>
      </c>
      <c r="C4" t="s">
        <v>15</v>
      </c>
      <c r="D4" t="s">
        <v>16</v>
      </c>
      <c r="E4" t="s">
        <v>17</v>
      </c>
      <c r="F4" t="s">
        <v>18</v>
      </c>
      <c r="G4" t="s">
        <v>50</v>
      </c>
    </row>
    <row r="5" spans="1:11" x14ac:dyDescent="0.25">
      <c r="A5" s="1">
        <v>42454</v>
      </c>
      <c r="B5" t="s">
        <v>46</v>
      </c>
      <c r="C5" t="s">
        <v>19</v>
      </c>
      <c r="D5" t="s">
        <v>20</v>
      </c>
      <c r="F5" t="s">
        <v>12</v>
      </c>
      <c r="G5" t="s">
        <v>50</v>
      </c>
      <c r="I5" s="1">
        <v>42370</v>
      </c>
      <c r="J5" t="e">
        <f ca="1">ispublicholiday(A5,A2:A25)</f>
        <v>#NAME?</v>
      </c>
      <c r="K5">
        <f>MATCH(I5,A:A)</f>
        <v>2</v>
      </c>
    </row>
    <row r="6" spans="1:11" x14ac:dyDescent="0.25">
      <c r="A6" s="1">
        <v>42457</v>
      </c>
      <c r="B6" t="s">
        <v>48</v>
      </c>
      <c r="C6" t="s">
        <v>22</v>
      </c>
      <c r="D6" t="s">
        <v>21</v>
      </c>
      <c r="F6" t="s">
        <v>12</v>
      </c>
      <c r="G6" t="s">
        <v>50</v>
      </c>
      <c r="I6" s="1">
        <v>42371</v>
      </c>
      <c r="J6" t="e">
        <f ca="1">ispublicholiday(I6)</f>
        <v>#NAME?</v>
      </c>
      <c r="K6" t="e">
        <f>MATCH(I6,A:A,0)</f>
        <v>#N/A</v>
      </c>
    </row>
    <row r="7" spans="1:11" x14ac:dyDescent="0.25">
      <c r="A7" s="1">
        <v>42485</v>
      </c>
      <c r="B7" t="s">
        <v>48</v>
      </c>
      <c r="C7" t="s">
        <v>23</v>
      </c>
      <c r="D7" t="s">
        <v>24</v>
      </c>
      <c r="E7" t="s">
        <v>25</v>
      </c>
      <c r="F7" t="s">
        <v>12</v>
      </c>
      <c r="G7" t="s">
        <v>50</v>
      </c>
      <c r="I7" s="1">
        <v>42737</v>
      </c>
      <c r="J7" t="e">
        <f ca="1">ispublicholiday(I7)</f>
        <v>#NAME?</v>
      </c>
      <c r="K7">
        <f>MATCH(I7,A:A,0)</f>
        <v>13</v>
      </c>
    </row>
    <row r="8" spans="1:11" x14ac:dyDescent="0.25">
      <c r="A8" s="1">
        <v>42534</v>
      </c>
      <c r="B8" t="s">
        <v>48</v>
      </c>
      <c r="C8" t="s">
        <v>26</v>
      </c>
      <c r="D8" t="s">
        <v>27</v>
      </c>
      <c r="E8" t="s">
        <v>28</v>
      </c>
      <c r="F8" t="s">
        <v>29</v>
      </c>
      <c r="G8" t="s">
        <v>50</v>
      </c>
    </row>
    <row r="9" spans="1:11" x14ac:dyDescent="0.25">
      <c r="A9" s="1">
        <v>42643</v>
      </c>
      <c r="B9" t="s">
        <v>46</v>
      </c>
      <c r="C9" t="s">
        <v>30</v>
      </c>
      <c r="D9" t="s">
        <v>31</v>
      </c>
      <c r="F9" t="s">
        <v>18</v>
      </c>
      <c r="G9" t="s">
        <v>50</v>
      </c>
    </row>
    <row r="10" spans="1:11" x14ac:dyDescent="0.25">
      <c r="A10" s="1">
        <v>42675</v>
      </c>
      <c r="B10" t="s">
        <v>47</v>
      </c>
      <c r="C10" t="s">
        <v>32</v>
      </c>
      <c r="D10" t="s">
        <v>33</v>
      </c>
      <c r="E10" t="s">
        <v>17</v>
      </c>
      <c r="F10" t="s">
        <v>18</v>
      </c>
      <c r="G10" t="s">
        <v>50</v>
      </c>
    </row>
    <row r="11" spans="1:11" x14ac:dyDescent="0.25">
      <c r="A11" s="1">
        <v>42730</v>
      </c>
      <c r="B11" t="s">
        <v>48</v>
      </c>
      <c r="C11" t="s">
        <v>36</v>
      </c>
      <c r="D11" t="s">
        <v>37</v>
      </c>
      <c r="F11" t="s">
        <v>38</v>
      </c>
      <c r="G11" t="s">
        <v>50</v>
      </c>
    </row>
    <row r="12" spans="1:11" x14ac:dyDescent="0.25">
      <c r="A12" s="1">
        <v>42731</v>
      </c>
      <c r="B12" t="s">
        <v>47</v>
      </c>
      <c r="C12" t="s">
        <v>39</v>
      </c>
      <c r="D12" t="s">
        <v>40</v>
      </c>
      <c r="F12" t="s">
        <v>38</v>
      </c>
      <c r="G12" t="s">
        <v>50</v>
      </c>
      <c r="I12" s="2"/>
    </row>
    <row r="13" spans="1:11" x14ac:dyDescent="0.25">
      <c r="A13" s="1">
        <v>42737</v>
      </c>
      <c r="B13" t="s">
        <v>48</v>
      </c>
      <c r="C13" t="s">
        <v>41</v>
      </c>
      <c r="D13" t="s">
        <v>42</v>
      </c>
      <c r="F13" t="s">
        <v>12</v>
      </c>
      <c r="G13" t="s">
        <v>50</v>
      </c>
    </row>
    <row r="14" spans="1:11" x14ac:dyDescent="0.25">
      <c r="A14" s="1">
        <v>42761</v>
      </c>
      <c r="B14" t="s">
        <v>49</v>
      </c>
      <c r="C14" t="s">
        <v>13</v>
      </c>
      <c r="D14" t="s">
        <v>14</v>
      </c>
      <c r="E14" t="s">
        <v>43</v>
      </c>
      <c r="F14" t="s">
        <v>12</v>
      </c>
      <c r="G14" t="s">
        <v>50</v>
      </c>
      <c r="I14" s="2"/>
    </row>
    <row r="15" spans="1:11" x14ac:dyDescent="0.25">
      <c r="A15" s="1">
        <v>42807</v>
      </c>
      <c r="B15" t="s">
        <v>48</v>
      </c>
      <c r="C15" t="s">
        <v>15</v>
      </c>
      <c r="D15" t="s">
        <v>16</v>
      </c>
      <c r="E15" t="s">
        <v>17</v>
      </c>
      <c r="F15" t="s">
        <v>18</v>
      </c>
      <c r="G15" t="s">
        <v>50</v>
      </c>
    </row>
    <row r="16" spans="1:11" ht="14.25" customHeight="1" x14ac:dyDescent="0.25">
      <c r="A16" s="1">
        <v>42839</v>
      </c>
      <c r="B16" t="s">
        <v>46</v>
      </c>
      <c r="C16" t="s">
        <v>19</v>
      </c>
      <c r="D16" t="s">
        <v>20</v>
      </c>
      <c r="F16" t="s">
        <v>12</v>
      </c>
      <c r="G16" t="s">
        <v>50</v>
      </c>
    </row>
    <row r="17" spans="1:7" ht="14.25" customHeight="1" x14ac:dyDescent="0.25">
      <c r="A17" s="1">
        <v>42841</v>
      </c>
      <c r="B17" t="s">
        <v>51</v>
      </c>
      <c r="C17" t="s">
        <v>52</v>
      </c>
      <c r="F17" t="s">
        <v>12</v>
      </c>
      <c r="G17" t="s">
        <v>50</v>
      </c>
    </row>
    <row r="18" spans="1:7" x14ac:dyDescent="0.25">
      <c r="A18" s="1">
        <v>42842</v>
      </c>
      <c r="B18" t="s">
        <v>48</v>
      </c>
      <c r="C18" t="s">
        <v>22</v>
      </c>
      <c r="D18" t="s">
        <v>21</v>
      </c>
      <c r="F18" t="s">
        <v>12</v>
      </c>
      <c r="G18" t="s">
        <v>50</v>
      </c>
    </row>
    <row r="19" spans="1:7" x14ac:dyDescent="0.25">
      <c r="A19" s="1">
        <v>42850</v>
      </c>
      <c r="B19" t="s">
        <v>47</v>
      </c>
      <c r="C19" t="s">
        <v>23</v>
      </c>
      <c r="D19" t="s">
        <v>24</v>
      </c>
      <c r="E19" t="s">
        <v>25</v>
      </c>
      <c r="F19" t="s">
        <v>12</v>
      </c>
      <c r="G19" t="s">
        <v>50</v>
      </c>
    </row>
    <row r="20" spans="1:7" x14ac:dyDescent="0.25">
      <c r="A20" s="1">
        <v>42898</v>
      </c>
      <c r="B20" t="s">
        <v>48</v>
      </c>
      <c r="C20" t="s">
        <v>26</v>
      </c>
      <c r="D20" t="s">
        <v>27</v>
      </c>
      <c r="E20" t="s">
        <v>28</v>
      </c>
      <c r="F20" t="s">
        <v>29</v>
      </c>
      <c r="G20" t="s">
        <v>50</v>
      </c>
    </row>
    <row r="21" spans="1:7" x14ac:dyDescent="0.25">
      <c r="A21" s="1">
        <v>43007</v>
      </c>
      <c r="B21" t="s">
        <v>46</v>
      </c>
      <c r="C21" t="s">
        <v>30</v>
      </c>
      <c r="D21" t="s">
        <v>31</v>
      </c>
      <c r="E21" t="s">
        <v>17</v>
      </c>
      <c r="F21" t="s">
        <v>18</v>
      </c>
      <c r="G21" t="s">
        <v>50</v>
      </c>
    </row>
    <row r="22" spans="1:7" x14ac:dyDescent="0.25">
      <c r="A22" s="1">
        <v>43046</v>
      </c>
      <c r="B22" t="s">
        <v>47</v>
      </c>
      <c r="C22" t="s">
        <v>32</v>
      </c>
      <c r="D22" t="s">
        <v>44</v>
      </c>
      <c r="F22" t="s">
        <v>18</v>
      </c>
      <c r="G22" t="s">
        <v>50</v>
      </c>
    </row>
    <row r="23" spans="1:7" x14ac:dyDescent="0.25">
      <c r="A23" s="1">
        <v>43094</v>
      </c>
      <c r="B23" t="s">
        <v>48</v>
      </c>
      <c r="C23" t="s">
        <v>34</v>
      </c>
      <c r="D23" t="s">
        <v>35</v>
      </c>
      <c r="F23" t="s">
        <v>12</v>
      </c>
      <c r="G23" t="s">
        <v>50</v>
      </c>
    </row>
    <row r="24" spans="1:7" x14ac:dyDescent="0.25">
      <c r="A24" s="1">
        <v>43095</v>
      </c>
      <c r="B24" t="s">
        <v>47</v>
      </c>
      <c r="C24" t="s">
        <v>36</v>
      </c>
      <c r="D24" t="s">
        <v>37</v>
      </c>
      <c r="F24" t="s">
        <v>45</v>
      </c>
      <c r="G24" t="s">
        <v>50</v>
      </c>
    </row>
    <row r="25" spans="1:7" x14ac:dyDescent="0.25">
      <c r="A25" s="1">
        <v>42736</v>
      </c>
      <c r="G25" t="s">
        <v>50</v>
      </c>
    </row>
    <row r="26" spans="1:7" x14ac:dyDescent="0.25">
      <c r="A26" s="1">
        <v>43101</v>
      </c>
    </row>
    <row r="27" spans="1:7" x14ac:dyDescent="0.25">
      <c r="A27" s="1">
        <v>43126</v>
      </c>
    </row>
    <row r="28" spans="1:7" x14ac:dyDescent="0.25">
      <c r="A28" s="1">
        <v>43171</v>
      </c>
    </row>
    <row r="29" spans="1:7" x14ac:dyDescent="0.25">
      <c r="A29" s="1">
        <v>43189</v>
      </c>
    </row>
    <row r="30" spans="1:7" x14ac:dyDescent="0.25">
      <c r="A30" s="1">
        <v>43190</v>
      </c>
    </row>
    <row r="31" spans="1:7" x14ac:dyDescent="0.25">
      <c r="A31" s="1">
        <v>43191</v>
      </c>
    </row>
    <row r="32" spans="1:7" x14ac:dyDescent="0.25">
      <c r="A32" s="1">
        <v>43192</v>
      </c>
    </row>
    <row r="33" spans="1:1" x14ac:dyDescent="0.25">
      <c r="A33" s="1">
        <v>43215</v>
      </c>
    </row>
    <row r="34" spans="1:1" x14ac:dyDescent="0.25">
      <c r="A34" s="1">
        <v>43262</v>
      </c>
    </row>
    <row r="35" spans="1:1" x14ac:dyDescent="0.25">
      <c r="A35" s="1">
        <v>43371</v>
      </c>
    </row>
    <row r="36" spans="1:1" x14ac:dyDescent="0.25">
      <c r="A36" s="1">
        <v>43410</v>
      </c>
    </row>
    <row r="37" spans="1:1" x14ac:dyDescent="0.25">
      <c r="A37" s="1">
        <v>43459</v>
      </c>
    </row>
    <row r="38" spans="1:1" x14ac:dyDescent="0.25">
      <c r="A38" s="1">
        <v>43460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7BE13-F516-49DE-8431-79B447C3697A}">
  <sheetPr codeName="Sheet14"/>
  <dimension ref="A1:H20"/>
  <sheetViews>
    <sheetView workbookViewId="0">
      <selection activeCell="I11" sqref="I11"/>
    </sheetView>
  </sheetViews>
  <sheetFormatPr defaultRowHeight="15" x14ac:dyDescent="0.25"/>
  <cols>
    <col min="1" max="2" width="10.7109375" bestFit="1" customWidth="1"/>
    <col min="3" max="3" width="10.85546875" style="15" bestFit="1" customWidth="1"/>
    <col min="4" max="5" width="9.140625" style="15"/>
    <col min="7" max="7" width="10.7109375" bestFit="1" customWidth="1"/>
    <col min="8" max="8" width="9.7109375" bestFit="1" customWidth="1"/>
  </cols>
  <sheetData>
    <row r="1" spans="1:7" x14ac:dyDescent="0.25">
      <c r="A1" s="11" t="s">
        <v>58</v>
      </c>
      <c r="B1" s="11" t="s">
        <v>59</v>
      </c>
      <c r="C1" s="11" t="s">
        <v>57</v>
      </c>
      <c r="D1" s="11" t="s">
        <v>60</v>
      </c>
      <c r="E1" s="11" t="s">
        <v>53</v>
      </c>
    </row>
    <row r="2" spans="1:7" x14ac:dyDescent="0.25">
      <c r="A2" s="1">
        <v>43033</v>
      </c>
      <c r="B2" s="1">
        <v>43040</v>
      </c>
      <c r="C2" s="16">
        <v>547.20000000000005</v>
      </c>
      <c r="D2" s="16">
        <v>0</v>
      </c>
      <c r="E2" s="16">
        <v>547.20000000000005</v>
      </c>
    </row>
    <row r="3" spans="1:7" x14ac:dyDescent="0.25">
      <c r="A3" s="1">
        <v>43034</v>
      </c>
      <c r="B3" s="1">
        <v>43048</v>
      </c>
      <c r="C3" s="16">
        <v>1414.67</v>
      </c>
      <c r="D3" s="16">
        <v>135.79</v>
      </c>
      <c r="E3" s="16">
        <v>1278.8800000000001</v>
      </c>
    </row>
    <row r="4" spans="1:7" x14ac:dyDescent="0.25">
      <c r="A4" s="1">
        <v>43036</v>
      </c>
      <c r="B4" s="1">
        <v>43050</v>
      </c>
      <c r="C4" s="16">
        <v>1685.77</v>
      </c>
      <c r="D4" s="16">
        <v>222.76</v>
      </c>
      <c r="E4" s="16">
        <v>1463.01</v>
      </c>
    </row>
    <row r="5" spans="1:7" x14ac:dyDescent="0.25">
      <c r="A5" s="1">
        <v>43036</v>
      </c>
      <c r="B5" s="1">
        <v>43050</v>
      </c>
      <c r="C5" s="16">
        <v>1685.77</v>
      </c>
      <c r="D5" s="16">
        <v>222.76</v>
      </c>
      <c r="E5" s="16">
        <v>1463.01</v>
      </c>
    </row>
    <row r="6" spans="1:7" x14ac:dyDescent="0.25">
      <c r="A6" s="1">
        <v>43083</v>
      </c>
      <c r="B6" s="1">
        <v>43097</v>
      </c>
      <c r="C6" s="16">
        <v>890.56</v>
      </c>
      <c r="D6" s="16">
        <v>36.21</v>
      </c>
      <c r="E6" s="16">
        <v>854.35</v>
      </c>
      <c r="G6" s="1"/>
    </row>
    <row r="7" spans="1:7" x14ac:dyDescent="0.25">
      <c r="A7" s="1">
        <v>43069</v>
      </c>
      <c r="B7" s="1">
        <v>43083</v>
      </c>
      <c r="C7" s="16">
        <v>0</v>
      </c>
      <c r="D7" s="16">
        <v>0</v>
      </c>
      <c r="E7" s="16">
        <v>0</v>
      </c>
      <c r="G7" s="1"/>
    </row>
    <row r="8" spans="1:7" x14ac:dyDescent="0.25">
      <c r="A8" s="1">
        <v>43083</v>
      </c>
      <c r="B8" s="1">
        <v>43097</v>
      </c>
      <c r="C8" s="16">
        <v>301.2</v>
      </c>
      <c r="D8" s="16">
        <v>0</v>
      </c>
      <c r="E8" s="16">
        <v>301.2</v>
      </c>
      <c r="G8" s="1"/>
    </row>
    <row r="9" spans="1:7" x14ac:dyDescent="0.25">
      <c r="A9" s="1">
        <v>43083</v>
      </c>
      <c r="B9" s="1">
        <v>43097</v>
      </c>
      <c r="C9" s="16">
        <v>301.2</v>
      </c>
      <c r="D9" s="16">
        <v>0</v>
      </c>
      <c r="E9" s="16">
        <v>301.2</v>
      </c>
      <c r="G9" s="1"/>
    </row>
    <row r="10" spans="1:7" x14ac:dyDescent="0.25">
      <c r="A10" s="1">
        <v>43069</v>
      </c>
      <c r="B10" s="1">
        <v>43083</v>
      </c>
      <c r="C10" s="16">
        <v>0</v>
      </c>
      <c r="D10" s="16">
        <v>0</v>
      </c>
      <c r="E10" s="16">
        <v>0</v>
      </c>
      <c r="G10" s="1"/>
    </row>
    <row r="11" spans="1:7" x14ac:dyDescent="0.25">
      <c r="A11" s="1">
        <v>43084</v>
      </c>
      <c r="B11" s="1">
        <v>43098</v>
      </c>
      <c r="C11" s="16">
        <v>200.8</v>
      </c>
      <c r="D11" s="16">
        <v>0</v>
      </c>
      <c r="E11" s="16">
        <v>200.8</v>
      </c>
      <c r="G11" s="1"/>
    </row>
    <row r="12" spans="1:7" x14ac:dyDescent="0.25">
      <c r="A12" s="1">
        <v>43084</v>
      </c>
      <c r="B12" s="1">
        <v>43098</v>
      </c>
      <c r="C12" s="15">
        <v>200.8</v>
      </c>
      <c r="D12" s="16">
        <v>0</v>
      </c>
      <c r="E12" s="16">
        <v>200.8</v>
      </c>
      <c r="G12" s="1"/>
    </row>
    <row r="13" spans="1:7" x14ac:dyDescent="0.25">
      <c r="A13" s="1">
        <v>43083</v>
      </c>
      <c r="B13" s="1">
        <v>43097</v>
      </c>
      <c r="C13" s="15">
        <v>100.4</v>
      </c>
      <c r="D13" s="16">
        <v>0</v>
      </c>
      <c r="E13" s="16">
        <v>100.4</v>
      </c>
      <c r="G13" s="1"/>
    </row>
    <row r="14" spans="1:7" x14ac:dyDescent="0.25">
      <c r="G14" s="1"/>
    </row>
    <row r="15" spans="1:7" x14ac:dyDescent="0.25">
      <c r="G15" s="1"/>
    </row>
    <row r="16" spans="1:7" x14ac:dyDescent="0.25">
      <c r="G16" s="1"/>
    </row>
    <row r="17" spans="7:8" x14ac:dyDescent="0.25">
      <c r="G17" s="1"/>
    </row>
    <row r="18" spans="7:8" x14ac:dyDescent="0.25">
      <c r="G18" s="1"/>
    </row>
    <row r="19" spans="7:8" x14ac:dyDescent="0.25">
      <c r="G19" s="1"/>
    </row>
    <row r="20" spans="7:8" x14ac:dyDescent="0.25">
      <c r="G20" s="1"/>
      <c r="H2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Button 3">
              <controlPr defaultSize="0" print="0" autoFill="0" autoPict="0" macro="[0]!netpaycalcHide">
                <anchor moveWithCells="1" sizeWithCells="1">
                  <from>
                    <xdr:col>6</xdr:col>
                    <xdr:colOff>276225</xdr:colOff>
                    <xdr:row>0</xdr:row>
                    <xdr:rowOff>171450</xdr:rowOff>
                  </from>
                  <to>
                    <xdr:col>7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2:O7"/>
  <sheetViews>
    <sheetView topLeftCell="K1" workbookViewId="0">
      <selection activeCell="V13" sqref="V13"/>
    </sheetView>
  </sheetViews>
  <sheetFormatPr defaultRowHeight="15" x14ac:dyDescent="0.25"/>
  <cols>
    <col min="1" max="2" width="0" hidden="1" customWidth="1"/>
    <col min="3" max="4" width="10.7109375" hidden="1" customWidth="1"/>
    <col min="5" max="5" width="0" hidden="1" customWidth="1"/>
    <col min="6" max="6" width="12.7109375" hidden="1" customWidth="1"/>
    <col min="7" max="10" width="0" hidden="1" customWidth="1"/>
    <col min="15" max="15" width="13.28515625" customWidth="1"/>
  </cols>
  <sheetData>
    <row r="2" spans="2:15" x14ac:dyDescent="0.25">
      <c r="B2" s="7" t="s">
        <v>1</v>
      </c>
      <c r="C2" s="8" t="s">
        <v>2</v>
      </c>
      <c r="D2" s="8" t="s">
        <v>3</v>
      </c>
      <c r="E2" s="8" t="s">
        <v>4</v>
      </c>
      <c r="F2" s="8" t="s">
        <v>5</v>
      </c>
      <c r="L2" s="11" t="s">
        <v>54</v>
      </c>
      <c r="M2" s="14" t="s">
        <v>55</v>
      </c>
      <c r="N2" s="14" t="s">
        <v>4</v>
      </c>
      <c r="O2" s="14" t="s">
        <v>56</v>
      </c>
    </row>
    <row r="3" spans="2:15" x14ac:dyDescent="0.25">
      <c r="B3" s="6"/>
      <c r="C3" s="4">
        <v>25.1</v>
      </c>
      <c r="D3" s="4">
        <v>27.11</v>
      </c>
      <c r="E3" s="4">
        <v>39.159999999999997</v>
      </c>
      <c r="F3" s="4">
        <v>50.2</v>
      </c>
      <c r="M3" s="12">
        <v>25.1</v>
      </c>
      <c r="N3" s="12">
        <v>39.159999999999997</v>
      </c>
      <c r="O3" s="12">
        <v>50.2</v>
      </c>
    </row>
    <row r="4" spans="2:15" x14ac:dyDescent="0.25">
      <c r="B4" s="6"/>
      <c r="C4" s="6"/>
      <c r="D4" s="6"/>
      <c r="E4" s="6"/>
      <c r="F4" s="6"/>
    </row>
    <row r="5" spans="2:15" x14ac:dyDescent="0.25">
      <c r="B5" s="9" t="s">
        <v>3</v>
      </c>
      <c r="C5" s="5">
        <v>0</v>
      </c>
      <c r="D5" s="3">
        <v>0.29166666666666669</v>
      </c>
      <c r="E5" s="4">
        <v>25.1</v>
      </c>
      <c r="F5" s="10"/>
      <c r="L5" s="11" t="s">
        <v>3</v>
      </c>
      <c r="M5" s="13">
        <v>0</v>
      </c>
      <c r="N5" s="13">
        <v>0.29166666666666669</v>
      </c>
      <c r="O5" s="12">
        <v>25.1</v>
      </c>
    </row>
    <row r="6" spans="2:15" x14ac:dyDescent="0.25">
      <c r="B6" s="6"/>
      <c r="C6" s="3">
        <v>0.29166666666666669</v>
      </c>
      <c r="D6" s="3">
        <v>0.75</v>
      </c>
      <c r="E6" s="4">
        <v>27.11</v>
      </c>
      <c r="F6" s="10"/>
      <c r="M6" s="13">
        <v>0.29166666666666669</v>
      </c>
      <c r="N6" s="13">
        <v>0.75</v>
      </c>
      <c r="O6" s="12">
        <v>27.11</v>
      </c>
    </row>
    <row r="7" spans="2:15" x14ac:dyDescent="0.25">
      <c r="B7" s="6"/>
      <c r="C7" s="3">
        <v>0.75</v>
      </c>
      <c r="D7" s="3">
        <v>0</v>
      </c>
      <c r="E7" s="4">
        <v>25.1</v>
      </c>
      <c r="F7" s="6"/>
      <c r="M7" s="13">
        <v>0.75</v>
      </c>
      <c r="N7" s="13">
        <v>0</v>
      </c>
      <c r="O7" s="12">
        <v>25.1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0</xdr:colOff>
                    <xdr:row>8</xdr:row>
                    <xdr:rowOff>38100</xdr:rowOff>
                  </from>
                  <to>
                    <xdr:col>13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</vt:lpstr>
      <vt:lpstr>Public Holidays</vt:lpstr>
      <vt:lpstr>NetPayCalc</vt:lpstr>
      <vt:lpstr>Rates and Tax</vt:lpstr>
      <vt:lpstr>PublicHolidays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beejay_88</cp:lastModifiedBy>
  <dcterms:created xsi:type="dcterms:W3CDTF">2016-12-22T00:17:04Z</dcterms:created>
  <dcterms:modified xsi:type="dcterms:W3CDTF">2017-12-29T03:38:30Z</dcterms:modified>
</cp:coreProperties>
</file>